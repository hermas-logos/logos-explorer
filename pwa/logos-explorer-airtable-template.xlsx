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Logos-explorer\pwa\"/>
    </mc:Choice>
  </mc:AlternateContent>
  <xr:revisionPtr revIDLastSave="0" documentId="8_{F4EFE9AC-C9D1-4E43-A2BF-2BF9FAA9BA12}" xr6:coauthVersionLast="47" xr6:coauthVersionMax="47" xr10:uidLastSave="{00000000-0000-0000-0000-000000000000}"/>
  <bookViews>
    <workbookView xWindow="-120" yWindow="-120" windowWidth="20730" windowHeight="11040" activeTab="3" xr2:uid="{00000000-000D-0000-FFFF-FFFF00000000}"/>
  </bookViews>
  <sheets>
    <sheet name="Guide &amp; Index" sheetId="1" r:id="rId1"/>
    <sheet name="Episodes" sheetId="2" r:id="rId2"/>
    <sheet name="Quizzes" sheetId="3" r:id="rId3"/>
    <sheet name="Mind Map Nod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1" l="1"/>
  <c r="E13" i="1"/>
  <c r="E12" i="1"/>
</calcChain>
</file>

<file path=xl/sharedStrings.xml><?xml version="1.0" encoding="utf-8"?>
<sst xmlns="http://schemas.openxmlformats.org/spreadsheetml/2006/main" count="325" uniqueCount="241">
  <si>
    <t>LOGOS-EXPLORER PWA - AIRTABLE DATA TEMPLATE</t>
  </si>
  <si>
    <t>Generated July 2026 | Version 1.0 (Offline Local Database)</t>
  </si>
  <si>
    <t>1. INTRODUCTION &amp; WORKFLOW</t>
  </si>
  <si>
    <t>Welcome to your offline Airtable preparation template! For your dynamic, multi-language React PWA, a backend database like Airtable is the easiest no-code CMS to manage structured text (such as quizzes, episode metadata, and mind map coordinate datasets) without pushing new files to GitHub for every modification. This Excel workbook is designed to act as your local physical repository on your D: drive. You can write, edit, and proofread all your content in these tabs first, and then upload them directly to Airtable in one click!</t>
  </si>
  <si>
    <t>2. SHEET INDEX &amp; DIRECT LINKS</t>
  </si>
  <si>
    <t>Sheet Name</t>
  </si>
  <si>
    <t>Description / Content</t>
  </si>
  <si>
    <t>Airtable Table Mapping</t>
  </si>
  <si>
    <t>Direct Link</t>
  </si>
  <si>
    <t>Episodes</t>
  </si>
  <si>
    <t>Contains general episode metadata, media links (Vercel Blob), and Markdown-formatted study guides.</t>
  </si>
  <si>
    <t>Episodes Table (CMS)</t>
  </si>
  <si>
    <t>Quizzes</t>
  </si>
  <si>
    <t>Pre-populated database of active, multi-profile quiz questions, options, and explanations.</t>
  </si>
  <si>
    <t>Quizzes Table (Related Table)</t>
  </si>
  <si>
    <t>Mind Map Nodes</t>
  </si>
  <si>
    <t>Structured data defining the coordinate layouts, scientific definitions, and theological connections.</t>
  </si>
  <si>
    <t>MindMapNodes Table (Related Table)</t>
  </si>
  <si>
    <t>3. DATA ENTRY LEGENDS (AIRTABLE COMPATIBLE)</t>
  </si>
  <si>
    <t>Input Cells (Light Blue Fill)</t>
  </si>
  <si>
    <t>Editable cells where you type/paste new episode data.</t>
  </si>
  <si>
    <t>Pre-Populated Data (No Fill)</t>
  </si>
  <si>
    <t>Existing Episode 04 data ready for production.</t>
  </si>
  <si>
    <t>Linked Identifiers (Keys)</t>
  </si>
  <si>
    <t>Crucial IDs (like 'ep04') used to build relationships in Airtable.</t>
  </si>
  <si>
    <t>Episode ID*</t>
  </si>
  <si>
    <t>Title</t>
  </si>
  <si>
    <t>Duration</t>
  </si>
  <si>
    <t>YouTube URL</t>
  </si>
  <si>
    <t>Audio Dual-Host EN (URL)</t>
  </si>
  <si>
    <t>Audio Solo EN (URL)</t>
  </si>
  <si>
    <t>Audio Dual-Host ID (URL)</t>
  </si>
  <si>
    <t>ESL Guide Markdown (Text)</t>
  </si>
  <si>
    <t>ep04</t>
  </si>
  <si>
    <t>How Vast is the Universe?</t>
  </si>
  <si>
    <t>15:58</t>
  </si>
  <si>
    <t>https://www.youtube.com/watch?v=ep04_placeholder</t>
  </si>
  <si>
    <t>/audio/ep04/dual-host-en.m4a</t>
  </si>
  <si>
    <t>/audio/ep04/solo-brief-en.m4a</t>
  </si>
  <si>
    <t>/audio/ep04/dual-host-id.m4a</t>
  </si>
  <si>
    <t xml:space="preserve"># Episode 04 Study Guide: How Vast is the Universe?
## Accessible / ESL (English as a Second Language) Study Profile
Welcome to your study guide! This guide is written in **simple, clear, and easy-to-understand English**. It will help you learn the amazing facts about how big our universe is. We use simple stories and everyday examples (analogies) to make difficult ideas easy to understand [2, 3].
---
## 🚗 Section 1: The Moving Car &amp; The Cosmic Scale
Human brains did not grow to understand the giant sizes of outer space [3]. Our brains understand small distances, like a few miles to a local river or a nearby valley [3]. When we see numbers with twelve zeros, we just think of it as "very far" [3]. Let us build our scale step-by-step [3].
*   **Driving to the Moon**: The Moon is our closest neighbor in space, about 384,000 kilometers away [3]. If you could drive a car straight up into space at a highway speed of 100 kilometers per hour, it would take you **over 160 days** of non-stop driving to get there [3].
*   **Flying to the Sun**: The average distance from the Earth to the Sun is called an **Astronomical Unit (AU)**, which is 150 million kilometers [4]. If you flew there in a commercial passenger jet at 900 kilometers per hour, it would take you **19 years** of non-stop flying [4].
*   **Driving to Neptune**: Neptune is at the outer edge of our Solar System [4]. Driving our space-car there would take **more than 50 years** of continuous driving [4].
*   **Voyager 1 and the Pale Blue Dot**: Launched in 1977, Voyager 1 is the farthest human-made object [5]. It is over 25 billion kilometers away [5]. In 1990, Voyager turned its camera around from 6 billion kilometers away and took a picture of Earth [5]. In that picture, Earth looks like a **single, tiny pale blue pixel** (a tiny dot) caught in a beam of sunlight [5].
*   **The Soap Bubble in the Pacific Ocean**: For about 100 years, humanity has sent radio and television signals into space, creating a "radio bubble" that is 100 light-years wide [6]. However, our galaxy (the Milky Way) is 100,000 light-years wide [7]. If our galaxy were the giant **Pacific Ocean**, our radio bubble is like a **single tiny soap bubble** dropped off the coast [7]. No one on the other side of the ocean can see it [7].
### 📝 Key Vocabulary
1.  **Baseline**: A starting line or basic standard used to compare other things [3].
2.  **Astronomical Unit (AU)**: The average distance between the Earth and the Sun, about 150 million kilometers [4].
3.  **Vantage Point**: A position or place that gives you a good view of something [4, 5].
4.  **Interstellar**: The deep, empty space that lies between different stars [5].
### ❓ Review Questions
1. How long would it take to fly to the Sun in a regular passenger airplane? [4]
2. Why is the "radio bubble" of human TV and radio signals compared to a single soap bubble in the Pacific Ocean? [7]
---
## 🪜 Section 2: The Cosmic Distance Ladder
Because we cannot travel to the stars, scientists have built a **Cosmic Distance Ladder** [7]. This is a set of overlapping tools [7]. Each tool (or "rung" of the ladder) helps us measure farther than the one before it [7, 8].
*   **Rung 1: Parallax**: Nearby stars seem to shift their positions against the deep background when Earth moves around the Sun [8]. It is like closing one eye, then the other, and watching your finger move [8]. This works for stars up to a few thousand light-years away [8].
*   **Rung 2: Standard Candles (Cepheids)**: In the early 1900s, Henrietta Swan Leavitt discovered pulsing stars (Cepheid variables) [8]. Their flashing rate is tied to how bright they truly are [8]. By comparing their real brightness to how dim they look to us, we can calculate how far away they are, out to millions of light-years [8].
*   **Rung 3: Exploding Stars (Supernovae)**: When white dwarf stars explode (Type Ia supernovae), they always explode with the same mass and brightness [9]. Because their brightness is constant, they act like giant, ultra-bright lightbulbs across billions of light-years [9].
*   **Rung 4: Redshift**: For the farthest objects, we look at how light waves stretch [9]. As the space between galaxies grows, light waves stretch out and turn redder [9]. The redder the light, the farther and faster the galaxy is moving away from us [9].
### 📝 Key Vocabulary
1.  **Parallax**: The apparent shift in the position of an object when you look at it from two different places [8].
2.  **Standard Candle**: An astronomical object (like a star) that has a known, constant brightness, used to measure distances [8, 9].
3.  **Supernova**: A giant, brilliant explosion of a dying star [9].
4.  **Redshift**: The stretching of light waves toward the red end of the color spectrum as an object moves away through expanding space [9].
### ❓ Review Questions
1. Who was Henrietta Swan Leavitt, and what did she discover about pulsing stars? [8]
2. What are the four rungs of the cosmic distance ladder? [9]
---
## ⏳ Section 3: The Space Time Machine &amp; The Widening River
Light travels very fast, but it still has a speed limit [10]. This means we **never** see the universe as it is right now [10]. Looking into space is like looking into a historical **time capsule** [10].
*   **The Time Delay**: When you look at the Sun, you see light that left it **8 minutes ago** [10]. When you look at our neighbor, the Andromeda galaxy, you see light that is **2.5 million years old** [10]. You are seeing Andromeda as it looked when early humans on Earth were learning to make stone tools [10].
*   **The Particle Horizon**: The oldest light we can see has traveled for 13.8 billion years (the age of the universe) [11]. This boundary is called the **Particle Horizon** [11]. It is the absolute limit of what we can observe [11].
*   **The 93-Billion-Light-Year Paradox**: If the universe is only 13.8 billion years old, you might expect the observable universe to be 13.8 billion light-years wide [12]. But it is actually **93 billion light-years wide** [12].
*   **The Raft on the Widening River**: This works because the fabric of space itself is stretching [13]. The speed limit of light only applies to objects traveling *through* space, not to space itself [13]. Imagine a **raft drifting on a river** [13]. As the raft drifts, the river also gets wider and wider [13]. By the time the raft's light reaches us, the raft (the galaxy) has been pushed much further away—about 46 billion light-years in one direction [13]. We are seeing a **ghost**: we see the galaxy as it was when it was close and young, but today it is actually tens of billions of light-years farther away [13].
### 📝 Key Vocabulary
1.  **Time Capsule**: A container holding historical objects that represents a specific time in the past [10].
2.  **Horizon**: The furthest limit of what you can see or reach [11].
3.  **Fabric of Space**: The physical coordinate grid of space itself, which can stretch and expand [13].
4.  **Paradox**: A situation or statement that seems impossible or contradictory, but is actually true [12, 13].
### ❓ Review Questions
1. Why is looking at the Andromeda galaxy like looking 2.5 million years into the past? [10]
2. How does the "raft on a widening river" analogy explain why the universe is 93 billion light-years wide? [13]
---
## 🌊 Section 4: The Speed of River Currents &amp; The Reachable Bubble
The expansion of our space is not just constant—it is **speeding up** because of a mysterious force called **dark energy** [14]. This acceleration creates a terrifying wall called the **Cosmic Event Horizon** [14].
*   **The Speed Limit of Space**: Because space is stretching faster and faster, there is a point where the space between us and a distant galaxy is growing **faster than the speed of light** [14].
*   **Swimming Against the Current**: Imagine **swimming against a river current** that flows faster than you can swim [15]. No matter how hard you swim, you will be pushed backward [15]. If a galaxy is more than **16 billion light-years away**, its space is growing faster than light can cross [15]. Even if we had a spaceship traveling at the absolute speed of light, we could never reach it [15].
*   **Causally Disconnected**: These distant galaxies are permanently cut off from us [16]. Stars are still being born there, but their light will never cross the growing gap to reach our telescopes [16].
*   **The Two Bubbles**:
    1.  **The Observable Bubble**: 93 billion light-years wide [16]. We can see the "ghosts" of the past inside this bubble [16].
    2.  **The Reachable Bubble**: Only 32 billion light-years wide (16 billion in any direction) [16]. This is the much smaller bubble nested inside the observable one that humanity could ever, in theory, physically visit or contact [16].
### 📝 Key Vocabulary
1.  **Dark Energy**: A mysterious cosmic force that causes the expansion of the universe to speed up over time [14].
2.  **Tipping Point**: The critical moment or distance where a major, irreversible change happens [14].
3.  **Causally Disconnected**: Completely cut off from any communication or physical connection due to the speed limit of light [16].
4.  **Nested**: Fitting one object neatly inside a larger one [16].
### ❓ Review Questions
1. What is the "Cosmic Event Horizon," and how far away is it? [14, 15]
2. What is the difference between our "Observable Bubble" and our "Reachable Bubble"? [16]
---
## 🧀 Section 5: The Cosmic Web &amp; The Great Empty Voids
Galaxies are not spread out randomly [17]. They clump together into a giant pattern called the **Cosmic Web** [17].
*   **The Sponge or Swiss Cheese**: The universe looks like a giant **sponge** or a block of **Swiss cheese** [17]. There are glowing threads (filaments) of gas and dark matter covered in galaxies, surrounding giant, empty holes called **voids** [17].
*   **Laniakea Supercluster**: Our own Milky Way galaxy lives in a group of 100,000 galaxies called the Laniakea Supercluster [17]. We are all moving together along gravity currents [17].
*   **The Local Void**: We sit right next to a massive empty region called the Local Void, which is 150 million light-years wide [17]. Our galaxy is actually being pushed away from this emptiness at 600 kilometers per second [17].
*   **The Boötes Void (The Supervoid)**: Located 700 million light-years away, this giant empty sphere is 330 million light-years wide [18]. A space this size should normally have about 2,000 galaxies, but scientists have only found about 60 inside it [18].
*   **The Eerie Emptiness**: If our Milky Way were located right in the center of the Boötes Void, humanity would have looked out into absolute blackness [18]. We would have believed our galaxy was **entirely alone in the universe** until advanced telescopes were invented in the 1960s [18].
### 📝 Key Vocabulary
1.  **Filament**: A thin, thread-like structure of matter and gas that holds groups of galaxies together [17].
2.  **Supercluster**: A massive group or cluster of thousands of individual galaxies [17].
3.  **Supervoid**: A colossally large, nearly empty bubble in space that contains almost no galaxies [18].
4.  **Eerie**: Strange, mysterious, and slightly frightening [18].
### ❓ Review Questions
1. Why is the cosmic web compared to a sponge or Swiss cheese? [17]
2. What would have happened to human astronomy if our galaxy was in the center of the Boötes Void? [18]
---
## 🗺️ Section 6: Curvature, Flat Space &amp; The Closing Window
If we look past the observable wall, what lies beyond? [19] We can use geometry to find out [19].
*   **Mapping the First Light**: The **Planck satellite** mapped the oldest light in the universe, called the Cosmic Microwave Background (CMB) [19].
*   **Is the Universe Flat?**: If space were curved like a ball (a sphere) or a saddle, giant triangles drawn in space would have angles that do not add up to 180 degrees [19]. But the Planck satellite found that our space is **flat** with almost no error [19].
*   **The Infinite Parking Lot**: Is it flat because we are just a tiny ant walking on a giant parking lot, too small to feel the curve of the Earth? [20] Or is it perfectly flat? [20] If it is genuinely flat, the universe does not curve back on itself—it goes on forever, meaning it is **infinite** [20]. Our massive observable bubble with two trillion galaxies is just a single drop on an endless, infinite canvas [20].
*   **The Closing Window**: Right now, we live in a highly **privileged window of cosmic time** [2, 21]. Because we sit here today, we can see the history of the Big Bang and map the stars [21, 22].
*   **The Dark Future**: But because dark energy is pushing galaxies away faster and faster, they are crossing our event horizon every day and fading to black [21]. In a few billion years, the Milky Way and Andromeda will merge into a giant galaxy called "Milkomeda" [22]. Over trillions of years, every other galaxy will be pushed away so far that the night sky will be **completely pitch black** [22]. Future civilizations will look up, see nothing but their own stars, and believe they are completely alone in a static, dark sky [22].
### 📝 Key Vocabulary
1.  **Curvature**: The degree or amount of bending of a geometric space [19].
2.  **Infinite**: Having no limits, boundaries, or end; continuing forever [20].
3.  **Privileged Window**: A rare and special period of time when conditions are perfect to observe or learn something [2, 21, 22].
4.  **Static**: Not moving, active, or changing; staying completely still [22].
### ❓ Review Questions
1. How did the Planck satellite measure whether space is curved or flat? [19]
2. Why will civilizations alive in trillions of years believe they are completely alone in space? [22]
---
## 📜 Section 7: Silent Words &amp; The Exposing Sun
*   *"The heavens declare the glory of God, and the sky above proclaims his handiwork. Day to day pours out speech, and night to night reveals knowledge."* — Psalm 19:1-2 [23]
The famous writer **C.S. Lewis** studied this ancient poem and pointed out a beautiful paradox: the heavens speak to us, but they do so **without making any sound** [23].
*   **Two Channels of Revelation**: Lewis teaches that God speaks to us through two different channels:
    1.  **Nature (The Heavens)**: Shows us God's silent majesty, immense scale, and infinite power [23].
    2.  **Scripture (The Word)**: Reveals God's personal character, grace, and love in a way that stars and empty space cannot [23].
*   **The Sun and the Heart**: The poem moves from the quiet, dark skies to the blazing, hot sun [23]. The sun shines on everything and can penetrate any hidden corner [23]. Lewis says this represents the **moral law** of God [23]. Just like the sun's heat penetrates the physical world, God's word shines into our hearts, exposing our secret faults, and calling us toward humility, honesty, and clean lives [23].
### 📝 Key Vocabulary
1.  **Exposition / Exposes**: Shines a light on or reveals something that was hidden [23].
2.  **Paradox**: A puzzle where two opposite ideas are both true (like speaking silently) [23].
3.  **Natural Revelation**: Learning about God's power by looking at the physical creation (nature) [23].
4.  **Special Revelation**: Learning about God's personal character and moral laws through written Scriptures [23].
### ❓ Review Questions
1. What is the "paradox of silent preaching" described by C.S. Lewis? [23]
2. How is the moral law of the Lord like the blazing sun? [23]
</t>
  </si>
  <si>
    <t>ep05_1</t>
  </si>
  <si>
    <t>ep05_2</t>
  </si>
  <si>
    <t>ep05_3</t>
  </si>
  <si>
    <t>ep05_4</t>
  </si>
  <si>
    <t>ep05_5</t>
  </si>
  <si>
    <t>Quiz ID*</t>
  </si>
  <si>
    <t>Target Profile</t>
  </si>
  <si>
    <t>Question Text</t>
  </si>
  <si>
    <t>Option A</t>
  </si>
  <si>
    <t>Option B</t>
  </si>
  <si>
    <t>Option C</t>
  </si>
  <si>
    <t>Option D</t>
  </si>
  <si>
    <t>Correct Answer</t>
  </si>
  <si>
    <t>Explanation</t>
  </si>
  <si>
    <t>q_ep04_01</t>
  </si>
  <si>
    <t>College Academic (EN)</t>
  </si>
  <si>
    <t>In his exposition of Psalm 19, how does C.S. Lewis categorize the dual modes of divine communication outlined in the text?</t>
  </si>
  <si>
    <t>Natural revelation conveying God's silent majesty, and written Scripture revealing His personal character, moral law, and grace.</t>
  </si>
  <si>
    <t>Scientific observation establishing physical laws, and spiritual intuition revealing mystical truths.</t>
  </si>
  <si>
    <t>Prophetic declaration revealing future timelines, and historical narratives showing divine providence.</t>
  </si>
  <si>
    <t>The music of the celestial spheres revealing cosmic order, and human conscience defining ethical standards.</t>
  </si>
  <si>
    <t>A</t>
  </si>
  <si>
    <t>C.S. Lewis emphasizes that Psalm 19 transitions beautifully from natural revelation—where the heavens declare God's glory silently and without spoken words—to special revelation, where written Scripture reveals God's personal covenant, grace, and perfect moral law.</t>
  </si>
  <si>
    <t>q_ep04_02</t>
  </si>
  <si>
    <t>How is the observable universe's physical radius of 46.5 billion light-years reconciled with its chronological age of only 13.8 billion years?</t>
  </si>
  <si>
    <t>Light traveled faster in the early universe due to higher thermal density.</t>
  </si>
  <si>
    <t>The metric expansion of space stretched the physical distance between objects after the photons were emitted.</t>
  </si>
  <si>
    <t>The observable limit is an optical illusion caused by gravitational lensing on a massive scale.</t>
  </si>
  <si>
    <t>Dark matter acceleration compressed the timeline of physical light propagation.</t>
  </si>
  <si>
    <t>B</t>
  </si>
  <si>
    <t>The light we see today from the edge of our observable bubble was emitted 13.8 billion years ago when those regions were much closer to us. Due to the metric expansion of space, those distant regions have since moved to their current distance of roughly 46.5 billion light-years.</t>
  </si>
  <si>
    <t>q_ep04_03</t>
  </si>
  <si>
    <t>What is the physical significance of the 16-billion-light-year threshold known as the cosmic event horizon?</t>
  </si>
  <si>
    <t>It represents the absolute physical edge of the entire infinite cosmic coordinate grid.</t>
  </si>
  <si>
    <t>It is the boundary where the density of dark matter drops to absolute zero.</t>
  </si>
  <si>
    <t>It is the limit beyond which space is expanding faster than light can travel toward us, making any emitted light permanently unreachable.</t>
  </si>
  <si>
    <t>It is the distance where cosmic microwave background radiation is completely absorbed by black holes.</t>
  </si>
  <si>
    <t>C</t>
  </si>
  <si>
    <t>Because of dark energy and the acceleration of cosmic expansion, a critical threshold exists at roughly 16 billion light-years. Any photon emitted beyond this distance today can never catch up to the expanding space, leaving those regions permanently and causally disconnected from us.</t>
  </si>
  <si>
    <t>q_ep04_04</t>
  </si>
  <si>
    <t>Henrietta Leavitt's groundbreaking discovery of the Period-Luminosity relationship in Cepheid variables unlocked which rung of the Cosmic Distance Ladder?</t>
  </si>
  <si>
    <t>The trigonometric parallax rung, measuring nearby stars inside our solar neighborhood.</t>
  </si>
  <si>
    <t>The standard candle rung, enabling astronomers to measure distances across intergalactic space.</t>
  </si>
  <si>
    <t>The Type Ia supernova rung, determining the acceleration rate of the distant cosmos.</t>
  </si>
  <si>
    <t>The cosmological redshift rung, mapping the absolute boundaries of the particle horizon.</t>
  </si>
  <si>
    <t>By discovering that a Cepheid variable's pulsation period is directly related to its intrinsic brightness, Henrietta Leavitt turned these stars into 'standard candles,' allowing Edwin Hubble and others to calculate accurate distances to external galaxies.</t>
  </si>
  <si>
    <t>q_ep04_05</t>
  </si>
  <si>
    <t>What cosmological reality does the concept of 'Trillion-Year Solitude' describe?</t>
  </si>
  <si>
    <t>The complete decay of all baryonic matter into fundamental subatomic particles.</t>
  </si>
  <si>
    <t>The eventual isolation of our local galactic group into a single merged galaxy, with all other galaxies pushed beyond our observable event horizon by dark energy.</t>
  </si>
  <si>
    <t>The theological state of absolute separation between the created order and divine presence.</t>
  </si>
  <si>
    <t>The cooling of the cosmic microwave background radiation to absolute zero.</t>
  </si>
  <si>
    <t>Over trillions of years, dark energy will push all galaxies not gravitationally bound to us beyond our cosmic event horizon. Our local group will merge into 'Milkomeda,' leaving future observers in a night sky devoid of any external stars or galaxies.</t>
  </si>
  <si>
    <t>q_ep04_06</t>
  </si>
  <si>
    <t>The Boötes Void is primarily notable in observational cosmology for which of the following characteristics?</t>
  </si>
  <si>
    <t>It is a massive region of space containing an extremely high concentration of dark energy.</t>
  </si>
  <si>
    <t>It is an incredibly sparse, spherical region of space roughly 250 to 330 million light-years across, containing very few galaxies.</t>
  </si>
  <si>
    <t>It is the point of origin for the cosmic microwave background radiation.</t>
  </si>
  <si>
    <t>It is a massive gravitational anomaly pulling the Milky Way toward the Great Attractor.</t>
  </si>
  <si>
    <t>Known as 'The Great Nothing,' the Boötes Void is a supervoid measuring nearly 330 million light-years in diameter. It is so empty that if the Milky Way were at its center, we wouldn't have discovered other galaxies until the 1960s.</t>
  </si>
  <si>
    <t>q_ep04_07</t>
  </si>
  <si>
    <t>Based on Planck satellite measurements, our universe exhibits a spatially 'flat' geometry within a 1% margin of error. What does this flat geometry mathematically imply about the cosmos?</t>
  </si>
  <si>
    <t>The universe has a physical boundary resembling a flat, two-dimensional sheet.</t>
  </si>
  <si>
    <t>The universe is finite in volume but lacks any physical boundaries or edges.</t>
  </si>
  <si>
    <t>The universe is spatially infinite, meaning our observable bubble is an infinitesimal speck on an endless coordinate canvas.</t>
  </si>
  <si>
    <t>Parallel lines of light will eventually curve and converge back onto their origin point.</t>
  </si>
  <si>
    <t>A spatially flat universe without global curvature implies a flat, Euclidean geometry that extends infinitely in all directions. Consequently, the physical cosmos is infinite, making our observable bubble a microscopic speck on an endless canvas.</t>
  </si>
  <si>
    <t>q_ep04_08</t>
  </si>
  <si>
    <t>How does the literary and cognitive barrier known as the 'Twelve Zeroes Limit' affect the human comprehension of cosmological distances?</t>
  </si>
  <si>
    <t>It prevents computer models from simulating stellar dynamics beyond 10^12 kilometers.</t>
  </si>
  <si>
    <t>It is the threshold where mathematical equations break down due to relativistic speeds.</t>
  </si>
  <si>
    <t>It describes the brain's evolutionary limitation, where any magnitude containing 12 or more zeroes is flattened into a generic, abstract concept of 'very far.'</t>
  </si>
  <si>
    <t>It is the visual resolution limit of modern optical telescopes looking back in time.</t>
  </si>
  <si>
    <t>Our brains evolved to navigate local landscapes (miles or kilometers). Once numbers scale to trillions (12 zeroes) and beyond, the brain's ability to maintain a proportional sense of scale fails, abstracting the quantity to a non-spatial concept.</t>
  </si>
  <si>
    <t>q_ep04_09</t>
  </si>
  <si>
    <t>In Psalm 19, how is the all-penetrating light and heat of the physical sun used metaphorically in relation to the Law of the Lord?</t>
  </si>
  <si>
    <t>It represents the warmth of divine grace comforting the weary traveler.</t>
  </si>
  <si>
    <t>It symbolizes the blind, mechanical indifference of natural physical laws.</t>
  </si>
  <si>
    <t>It represents a standard of light that searches, penetrates, and exposes the hidden, secret faults of the human heart.</t>
  </si>
  <si>
    <t>It signifies the destructive judgment of God coming to burn away physical creation.</t>
  </si>
  <si>
    <t>The psalm transitions from the physical sun, from whose heat 'nothing is hidden,' to the Law of the Lord, which acts as a spiritual light, searching the inner recesses of the soul, exposing secret faults, and calling the heart to purity.</t>
  </si>
  <si>
    <t>q_ep04_10</t>
  </si>
  <si>
    <t>The constant 'erasure' of distant galaxies crossing our event horizon poses what philosophical and theological reflection for human observers?</t>
  </si>
  <si>
    <t>It highlights human finitude and reinforces that our temporal window for observing and celebrating the cosmos is a temporary, highly privileged gift.</t>
  </si>
  <si>
    <t>It proves that physical laws are constantly mutating and are fundamentally unstable over time.</t>
  </si>
  <si>
    <t>It suggests that scientific knowledge will eventually become impossible and obsolete.</t>
  </si>
  <si>
    <t>It indicates that the physical cosmos is inherently hostile and is actively collapsing.</t>
  </si>
  <si>
    <t>Because dark energy is actively moving distant galaxies out of reach, we live in a highly specific, privileged cosmic window. This temporary access to the deep heavens highlights our creaturely limitations and amplifies the gratitude we owe for our brief moment of revelation.</t>
  </si>
  <si>
    <t>q_ep05_01</t>
  </si>
  <si>
    <t>ep05</t>
  </si>
  <si>
    <t>q_ep05_02</t>
  </si>
  <si>
    <t>q_ep05_03</t>
  </si>
  <si>
    <t>q_ep05_04</t>
  </si>
  <si>
    <t>q_ep05_05</t>
  </si>
  <si>
    <t>Node ID*</t>
  </si>
  <si>
    <t>Label</t>
  </si>
  <si>
    <t>Category</t>
  </si>
  <si>
    <t>X-Coordinate</t>
  </si>
  <si>
    <t>Y-Coordinate</t>
  </si>
  <si>
    <t>Description</t>
  </si>
  <si>
    <t>Relationship Connection</t>
  </si>
  <si>
    <t>Source Citation</t>
  </si>
  <si>
    <t>center</t>
  </si>
  <si>
    <t>Episode 4 Overview</t>
  </si>
  <si>
    <t>The overarching structure mapping cosmic boundaries.</t>
  </si>
  <si>
    <t>Central coordinates.</t>
  </si>
  <si>
    <t>Scene 01: Cold Open</t>
  </si>
  <si>
    <t>brain_evo</t>
  </si>
  <si>
    <t>Human Brain Evolution</t>
  </si>
  <si>
    <t>impediment</t>
  </si>
  <si>
    <t>Brain evolved for small spatial comprehension useful for survival.</t>
  </si>
  <si>
    <t>Biological limits driving the twelve zeroes metric collapse.</t>
  </si>
  <si>
    <t>Scene 02: Scale Problem</t>
  </si>
  <si>
    <t>twelve_zeroes</t>
  </si>
  <si>
    <t>Twelve Zeroes Limit</t>
  </si>
  <si>
    <t>Processing collapses after hitting twelve zeroes into generic 'very far'.</t>
  </si>
  <si>
    <t>Triggered by evolutionary bounds.</t>
  </si>
  <si>
    <t>radio_bubble</t>
  </si>
  <si>
    <t>The Radio Bubble</t>
  </si>
  <si>
    <t>100-light-year wide sphere of humanity's leaked signal presence.</t>
  </si>
  <si>
    <t>Demonstrates isolation inside our galactic community.</t>
  </si>
  <si>
    <t>pacific_bubble</t>
  </si>
  <si>
    <t>Pacific Ocean Soap Bubble</t>
  </si>
  <si>
    <t>Dropping our 100-light-year bubble in the galaxy is like dropping a soap bubble in the Pacific.</t>
  </si>
  <si>
    <t>Explains why we remain unnoticeable and silent.</t>
  </si>
  <si>
    <t>distance_ladder</t>
  </si>
  <si>
    <t>Cosmic Distance Ladder</t>
  </si>
  <si>
    <t>yardstick</t>
  </si>
  <si>
    <t>A series of overlapping astronomical distance measuring rungs.</t>
  </si>
  <si>
    <t>Constructed framework to scale deep interstellar space.</t>
  </si>
  <si>
    <t>Scene 03: Cosmic Distance Ladder</t>
  </si>
  <si>
    <t>parallax</t>
  </si>
  <si>
    <t>Parallax Rung</t>
  </si>
  <si>
    <t>Measuring orbital shifts of nearby stars against the background.</t>
  </si>
  <si>
    <t>Foundational baseline of the cosmic distance ladder.</t>
  </si>
  <si>
    <t>standard_candles</t>
  </si>
  <si>
    <t>Henrietta Leavitt's Candles</t>
  </si>
  <si>
    <t>Using Cepheid variable stars whose pulse rates are tied to true brightness.</t>
  </si>
  <si>
    <t>Enables distance readings out to millions of light-years.</t>
  </si>
  <si>
    <t>supernovae</t>
  </si>
  <si>
    <t>Type Ia Supernovae</t>
  </si>
  <si>
    <t>Exploding white dwarfs detonating at constant mass and peak brightness.</t>
  </si>
  <si>
    <t>Bridges high stellar distance scales with deep redshift calculations.</t>
  </si>
  <si>
    <t>redshift</t>
  </si>
  <si>
    <t>Cosmological Redshift</t>
  </si>
  <si>
    <t>Stretching of a galaxy's light as space itself expands.</t>
  </si>
  <si>
    <t>Final ladder rung establishing the expanding universe metrics.</t>
  </si>
  <si>
    <t>particle_horizon</t>
  </si>
  <si>
    <t>The Particle Horizon</t>
  </si>
  <si>
    <t>boundary</t>
  </si>
  <si>
    <t>Chronological boundary representing 13.8 billion years of light travel time.</t>
  </si>
  <si>
    <t>Establishes edge of the observable universe.</t>
  </si>
  <si>
    <t>Scene 04: Time Machine Problem</t>
  </si>
  <si>
    <t>observable_bubble</t>
  </si>
  <si>
    <t>93B Light-Year Bubble</t>
  </si>
  <si>
    <t>The current physical diameter of the observable universe today.</t>
  </si>
  <si>
    <t>Calculated by factoring spatial expansion over 13.8 billion years.</t>
  </si>
  <si>
    <t>Scene 05: A Number That Shouldn't Work</t>
  </si>
  <si>
    <t>space_expansion</t>
  </si>
  <si>
    <t>Spatial Expansion of Space</t>
  </si>
  <si>
    <t>The stretching of space itself, which is not bound by light speed limit.</t>
  </si>
  <si>
    <t>Resolves the 93B light-year vs 13.8B year age paradox.</t>
  </si>
  <si>
    <t>dark_energy</t>
  </si>
  <si>
    <t>Dark Energy Acceleration</t>
  </si>
  <si>
    <t>void</t>
  </si>
  <si>
    <t>Cosmological force accelerating spatial expansion over time.</t>
  </si>
  <si>
    <t>Triggers acceleration past the speed of light limit at critical distances.</t>
  </si>
  <si>
    <t>Scene 06: Cosmic Event Horizon</t>
  </si>
  <si>
    <t>event_horizon</t>
  </si>
  <si>
    <t>Cosmic Event Horizon</t>
  </si>
  <si>
    <t>The 16-billion-light-year boundary beyond which space stretches faster than light.</t>
  </si>
  <si>
    <t>Creates absolute reachability ceiling for humanity.</t>
  </si>
  <si>
    <t>causal_disconnect</t>
  </si>
  <si>
    <t>Causal Disconnection</t>
  </si>
  <si>
    <t>Galaxies past the horizon still exist but can never send signals to us.</t>
  </si>
  <si>
    <t>Direct result of spatial acceleration outrunning light speeds.</t>
  </si>
  <si>
    <t>closing_window</t>
  </si>
  <si>
    <t>The Closing Cosmic Window</t>
  </si>
  <si>
    <t>Galaxies continuously cross the horizon and fade into blackness.</t>
  </si>
  <si>
    <t>Forces the realization we live in a highly privileged window of observation.</t>
  </si>
  <si>
    <t>Scene 09: The Grand Synthesis</t>
  </si>
  <si>
    <t>psalm_19</t>
  </si>
  <si>
    <t>Psalm 19:1-2 Declaration</t>
  </si>
  <si>
    <t>revelation</t>
  </si>
  <si>
    <t>'The heavens declare the glory of God' - constant universal message.</t>
  </si>
  <si>
    <t>Theological link translating physical dimensions into divine majesty.</t>
  </si>
  <si>
    <t>Scene 10: Reflection</t>
  </si>
  <si>
    <t>silent_preaching</t>
  </si>
  <si>
    <t>Silent Preaching Paradox</t>
  </si>
  <si>
    <t>C.S. Lewis's analysis of creation preaching constantly without spoken words.</t>
  </si>
  <si>
    <t>Converts the expanding, quiet cosmic void into non-verbal preaching.</t>
  </si>
  <si>
    <t>exposing_sun</t>
  </si>
  <si>
    <t>Metaphor of the Exposing Sun</t>
  </si>
  <si>
    <t>Sun as a hot exposing light symbolizing the moral law.</t>
  </si>
  <si>
    <t>Parallels cosmic illumination with inward moral examination.</t>
  </si>
  <si>
    <t>n_ep05_01</t>
  </si>
  <si>
    <t>n_ep05_02</t>
  </si>
  <si>
    <t>n_ep05_03</t>
  </si>
  <si>
    <t>n_ep05_04</t>
  </si>
  <si>
    <t>n_ep05_05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</si>
</sst>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497D"/>
      <name val="Calibri"/>
    </font>
    <font>
      <i/>
      <sz val="11"/>
      <color rgb="FF595959"/>
      <name val="Calibri"/>
    </font>
    <font>
      <b/>
      <sz val="12"/>
      <color rgb="FFFFFFFF"/>
      <name val="Calibri"/>
    </font>
    <font>
      <sz val="11"/>
      <color rgb="FF000000"/>
      <name val="Calibri"/>
    </font>
    <font>
      <b/>
      <sz val="11"/>
      <color rgb="FFFFFFFF"/>
      <name val="Calibri"/>
    </font>
    <font>
      <b/>
      <sz val="11"/>
      <color rgb="FF000000"/>
      <name val="Calibri"/>
    </font>
    <font>
      <b/>
      <u/>
      <sz val="11"/>
      <color rgb="FF0563C1"/>
      <name val="Calibri"/>
    </font>
  </fonts>
  <fills count="7">
    <fill>
      <patternFill patternType="none"/>
    </fill>
    <fill>
      <patternFill patternType="gray125"/>
    </fill>
    <fill>
      <patternFill patternType="solid">
        <fgColor rgb="FF4472C4"/>
        <bgColor rgb="FF4472C4"/>
      </patternFill>
    </fill>
    <fill>
      <patternFill patternType="solid">
        <fgColor rgb="FF2F5496"/>
        <bgColor rgb="FF2F5496"/>
      </patternFill>
    </fill>
    <fill>
      <patternFill patternType="solid">
        <fgColor rgb="FFDCE6F1"/>
        <bgColor rgb="FFDCE6F1"/>
      </patternFill>
    </fill>
    <fill>
      <patternFill patternType="solid">
        <fgColor rgb="FFD6DCE4"/>
        <bgColor rgb="FFD6DCE4"/>
      </patternFill>
    </fill>
    <fill>
      <patternFill patternType="solid">
        <fgColor rgb="FFF2F2F2"/>
        <bgColor rgb="FFF2F2F2"/>
      </patternFill>
    </fill>
  </fills>
  <borders count="7">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right/>
      <top/>
      <bottom style="medium">
        <color rgb="FF2F5496"/>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5" fillId="3" borderId="0" xfId="0" applyFont="1" applyFill="1" applyAlignment="1">
      <alignment horizontal="center" vertical="center" wrapText="1"/>
    </xf>
    <xf numFmtId="0" fontId="5" fillId="3"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3" fillId="2" borderId="0" xfId="0" applyFont="1" applyFill="1"/>
    <xf numFmtId="0" fontId="0" fillId="0" borderId="0" xfId="0"/>
    <xf numFmtId="0" fontId="4" fillId="0" borderId="0" xfId="0" applyFont="1" applyAlignment="1">
      <alignment horizontal="left" vertical="top" wrapText="1"/>
    </xf>
    <xf numFmtId="0" fontId="5" fillId="3" borderId="3" xfId="0" applyFont="1" applyFill="1" applyBorder="1" applyAlignment="1">
      <alignment horizontal="center" vertical="top" wrapText="1"/>
    </xf>
    <xf numFmtId="0" fontId="0" fillId="0" borderId="0" xfId="0" applyAlignment="1">
      <alignment vertical="top"/>
    </xf>
    <xf numFmtId="0" fontId="5" fillId="3" borderId="0" xfId="0" applyFont="1" applyFill="1" applyBorder="1" applyAlignment="1">
      <alignment horizontal="center" vertical="top" wrapText="1"/>
    </xf>
    <xf numFmtId="0" fontId="4" fillId="5" borderId="4" xfId="0" applyFont="1" applyFill="1" applyBorder="1" applyAlignment="1">
      <alignment horizontal="center" vertical="top" wrapText="1"/>
    </xf>
    <xf numFmtId="0" fontId="4" fillId="0" borderId="4" xfId="0" applyFont="1" applyBorder="1" applyAlignment="1">
      <alignment horizontal="left" vertical="top" wrapText="1"/>
    </xf>
    <xf numFmtId="0" fontId="0" fillId="4" borderId="4" xfId="0" applyFill="1" applyBorder="1" applyAlignment="1">
      <alignment vertical="top"/>
    </xf>
    <xf numFmtId="0" fontId="6" fillId="0" borderId="4" xfId="0" applyFont="1" applyBorder="1" applyAlignment="1">
      <alignment horizontal="left" vertical="center" wrapText="1"/>
    </xf>
    <xf numFmtId="0" fontId="4" fillId="0" borderId="4" xfId="0" applyFont="1" applyBorder="1" applyAlignment="1">
      <alignment horizontal="left" vertical="center" wrapText="1"/>
    </xf>
    <xf numFmtId="0" fontId="7" fillId="0" borderId="4" xfId="0" applyFont="1" applyBorder="1" applyAlignment="1">
      <alignment horizontal="center" vertical="center" wrapText="1"/>
    </xf>
    <xf numFmtId="0" fontId="0" fillId="0" borderId="4" xfId="0" applyBorder="1"/>
    <xf numFmtId="0" fontId="6" fillId="4" borderId="4" xfId="0" applyFont="1" applyFill="1" applyBorder="1" applyAlignment="1">
      <alignment horizontal="left" vertical="center" wrapText="1"/>
    </xf>
    <xf numFmtId="0" fontId="4" fillId="0" borderId="4" xfId="0" applyFont="1" applyBorder="1" applyAlignment="1">
      <alignment horizontal="left" vertical="center" wrapText="1"/>
    </xf>
    <xf numFmtId="0" fontId="0" fillId="0" borderId="4" xfId="0" applyBorder="1"/>
    <xf numFmtId="0" fontId="6" fillId="5" borderId="4"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6" borderId="6" xfId="0" applyFont="1" applyFill="1" applyBorder="1" applyAlignment="1">
      <alignment horizontal="left" vertical="top" wrapText="1"/>
    </xf>
    <xf numFmtId="0" fontId="4" fillId="0" borderId="4" xfId="0" applyFont="1" applyBorder="1" applyAlignment="1">
      <alignment horizontal="center" vertical="center" wrapText="1"/>
    </xf>
    <xf numFmtId="0" fontId="4" fillId="5"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4" xfId="0" applyFont="1" applyFill="1" applyBorder="1" applyAlignment="1">
      <alignment horizontal="left" vertical="top" wrapText="1"/>
    </xf>
    <xf numFmtId="0" fontId="2" fillId="5" borderId="4" xfId="0" applyFont="1" applyFill="1" applyBorder="1" applyAlignment="1">
      <alignment horizontal="center" vertical="center" wrapText="1"/>
    </xf>
    <xf numFmtId="0" fontId="0" fillId="4" borderId="4" xfId="0" applyFill="1" applyBorder="1"/>
    <xf numFmtId="0" fontId="4" fillId="0" borderId="4" xfId="0" applyFont="1" applyBorder="1" applyAlignment="1">
      <alignment horizontal="center" vertical="top" wrapText="1"/>
    </xf>
    <xf numFmtId="0" fontId="4" fillId="6" borderId="5" xfId="0" applyFont="1" applyFill="1" applyBorder="1" applyAlignment="1">
      <alignment horizontal="center" vertical="top" wrapText="1"/>
    </xf>
    <xf numFmtId="0" fontId="4" fillId="0" borderId="1" xfId="0" applyFont="1" applyBorder="1" applyAlignment="1">
      <alignment horizontal="center" vertical="top" wrapText="1"/>
    </xf>
    <xf numFmtId="0" fontId="4" fillId="6" borderId="1" xfId="0" applyFont="1" applyFill="1" applyBorder="1" applyAlignment="1">
      <alignment horizontal="center" vertical="top" wrapText="1"/>
    </xf>
    <xf numFmtId="0" fontId="4" fillId="6" borderId="6" xfId="0" applyFont="1" applyFill="1" applyBorder="1" applyAlignment="1">
      <alignment horizontal="center" vertical="top" wrapText="1"/>
    </xf>
    <xf numFmtId="0" fontId="4" fillId="6" borderId="4" xfId="0" applyFont="1" applyFill="1" applyBorder="1" applyAlignment="1">
      <alignment horizontal="center" vertical="top" wrapText="1"/>
    </xf>
    <xf numFmtId="0" fontId="2" fillId="5" borderId="4" xfId="0" applyFont="1" applyFill="1" applyBorder="1" applyAlignment="1">
      <alignment horizontal="center" vertical="top" wrapText="1"/>
    </xf>
    <xf numFmtId="0" fontId="4" fillId="0" borderId="4" xfId="0" applyFont="1" applyBorder="1" applyAlignment="1">
      <alignment horizontal="center" vertical="top"/>
    </xf>
    <xf numFmtId="0" fontId="4" fillId="6" borderId="4" xfId="0" applyFont="1" applyFill="1" applyBorder="1" applyAlignment="1">
      <alignment horizontal="center" vertical="top"/>
    </xf>
    <xf numFmtId="0" fontId="0" fillId="0" borderId="0" xfId="0" applyAlignment="1">
      <alignment horizontal="center" vertical="top"/>
    </xf>
    <xf numFmtId="0" fontId="0" fillId="4" borderId="4" xfId="0"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2:F20"/>
  <sheetViews>
    <sheetView showGridLines="0" topLeftCell="A5" workbookViewId="0">
      <selection activeCell="E12" sqref="E12"/>
    </sheetView>
  </sheetViews>
  <sheetFormatPr defaultRowHeight="15" x14ac:dyDescent="0.25"/>
  <cols>
    <col min="1" max="1" width="3" customWidth="1"/>
    <col min="2" max="2" width="28" customWidth="1"/>
    <col min="3" max="3" width="50" customWidth="1"/>
    <col min="4" max="4" width="28" customWidth="1"/>
    <col min="5" max="5" width="24" customWidth="1"/>
    <col min="6" max="6" width="12" customWidth="1"/>
  </cols>
  <sheetData>
    <row r="2" spans="2:6" ht="21" x14ac:dyDescent="0.35">
      <c r="B2" s="1" t="s">
        <v>0</v>
      </c>
    </row>
    <row r="3" spans="2:6" x14ac:dyDescent="0.25">
      <c r="B3" s="2" t="s">
        <v>1</v>
      </c>
    </row>
    <row r="5" spans="2:6" ht="15.75" x14ac:dyDescent="0.25">
      <c r="B5" s="10" t="s">
        <v>2</v>
      </c>
      <c r="C5" s="11"/>
      <c r="D5" s="11"/>
      <c r="E5" s="11"/>
      <c r="F5" s="11"/>
    </row>
    <row r="6" spans="2:6" x14ac:dyDescent="0.25">
      <c r="B6" s="12" t="s">
        <v>3</v>
      </c>
      <c r="C6" s="11"/>
      <c r="D6" s="11"/>
      <c r="E6" s="11"/>
      <c r="F6" s="11"/>
    </row>
    <row r="7" spans="2:6" x14ac:dyDescent="0.25">
      <c r="B7" s="11"/>
      <c r="C7" s="11"/>
      <c r="D7" s="11"/>
      <c r="E7" s="11"/>
      <c r="F7" s="11"/>
    </row>
    <row r="8" spans="2:6" x14ac:dyDescent="0.25">
      <c r="B8" s="11"/>
      <c r="C8" s="11"/>
      <c r="D8" s="11"/>
      <c r="E8" s="11"/>
      <c r="F8" s="11"/>
    </row>
    <row r="10" spans="2:6" ht="15.75" x14ac:dyDescent="0.25">
      <c r="B10" s="10" t="s">
        <v>4</v>
      </c>
      <c r="C10" s="11"/>
      <c r="D10" s="11"/>
      <c r="E10" s="11"/>
      <c r="F10" s="11"/>
    </row>
    <row r="11" spans="2:6" x14ac:dyDescent="0.25">
      <c r="B11" s="3" t="s">
        <v>5</v>
      </c>
      <c r="C11" s="3" t="s">
        <v>6</v>
      </c>
      <c r="D11" s="3" t="s">
        <v>7</v>
      </c>
      <c r="E11" s="3" t="s">
        <v>8</v>
      </c>
    </row>
    <row r="12" spans="2:6" ht="30" x14ac:dyDescent="0.25">
      <c r="B12" s="19" t="s">
        <v>9</v>
      </c>
      <c r="C12" s="20" t="s">
        <v>10</v>
      </c>
      <c r="D12" s="20" t="s">
        <v>11</v>
      </c>
      <c r="E12" s="21" t="str">
        <f>HYPERLINK("#Episodes!A1", "Go to Episodes →")</f>
        <v>Go to Episodes →</v>
      </c>
    </row>
    <row r="13" spans="2:6" ht="30" x14ac:dyDescent="0.25">
      <c r="B13" s="19" t="s">
        <v>12</v>
      </c>
      <c r="C13" s="20" t="s">
        <v>13</v>
      </c>
      <c r="D13" s="20" t="s">
        <v>14</v>
      </c>
      <c r="E13" s="21" t="str">
        <f>HYPERLINK("#Quizzes!A1", "Go to Quizzes →")</f>
        <v>Go to Quizzes →</v>
      </c>
    </row>
    <row r="14" spans="2:6" ht="30" x14ac:dyDescent="0.25">
      <c r="B14" s="19" t="s">
        <v>15</v>
      </c>
      <c r="C14" s="20" t="s">
        <v>16</v>
      </c>
      <c r="D14" s="20" t="s">
        <v>17</v>
      </c>
      <c r="E14" s="21" t="str">
        <f>HYPERLINK("#'Mind Map Nodes'!A1", "Go to Mind Map Nodes →")</f>
        <v>Go to Mind Map Nodes →</v>
      </c>
    </row>
    <row r="15" spans="2:6" x14ac:dyDescent="0.25">
      <c r="B15" s="22"/>
      <c r="C15" s="22"/>
      <c r="D15" s="22"/>
      <c r="E15" s="22"/>
    </row>
    <row r="16" spans="2:6" x14ac:dyDescent="0.25">
      <c r="B16" s="22"/>
      <c r="C16" s="22"/>
      <c r="D16" s="22"/>
      <c r="E16" s="22"/>
    </row>
    <row r="17" spans="2:6" ht="15.75" x14ac:dyDescent="0.25">
      <c r="B17" s="10" t="s">
        <v>18</v>
      </c>
      <c r="C17" s="11"/>
      <c r="D17" s="11"/>
      <c r="E17" s="11"/>
      <c r="F17" s="11"/>
    </row>
    <row r="18" spans="2:6" x14ac:dyDescent="0.25">
      <c r="B18" s="23" t="s">
        <v>19</v>
      </c>
      <c r="C18" s="24" t="s">
        <v>20</v>
      </c>
      <c r="D18" s="25"/>
      <c r="E18" s="25"/>
      <c r="F18" s="25"/>
    </row>
    <row r="19" spans="2:6" x14ac:dyDescent="0.25">
      <c r="B19" s="19" t="s">
        <v>21</v>
      </c>
      <c r="C19" s="24" t="s">
        <v>22</v>
      </c>
      <c r="D19" s="25"/>
      <c r="E19" s="25"/>
      <c r="F19" s="25"/>
    </row>
    <row r="20" spans="2:6" x14ac:dyDescent="0.25">
      <c r="B20" s="26" t="s">
        <v>23</v>
      </c>
      <c r="C20" s="24" t="s">
        <v>24</v>
      </c>
      <c r="D20" s="25"/>
      <c r="E20" s="25"/>
      <c r="F20" s="25"/>
    </row>
  </sheetData>
  <mergeCells count="7">
    <mergeCell ref="C18:F18"/>
    <mergeCell ref="B10:F10"/>
    <mergeCell ref="C20:F20"/>
    <mergeCell ref="B5:F5"/>
    <mergeCell ref="C19:F19"/>
    <mergeCell ref="B6:F8"/>
    <mergeCell ref="B17:F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H7"/>
  <sheetViews>
    <sheetView showGridLines="0" workbookViewId="0">
      <pane ySplit="1" topLeftCell="A2" activePane="bottomLeft" state="frozen"/>
      <selection pane="bottomLeft" activeCell="D2" sqref="D2"/>
    </sheetView>
  </sheetViews>
  <sheetFormatPr defaultRowHeight="15" x14ac:dyDescent="0.25"/>
  <cols>
    <col min="1" max="1" width="14" style="14" customWidth="1"/>
    <col min="2" max="2" width="28" style="14" customWidth="1"/>
    <col min="3" max="3" width="12" style="14" customWidth="1"/>
    <col min="4" max="4" width="51" style="14" customWidth="1"/>
    <col min="5" max="5" width="31" style="14" customWidth="1"/>
    <col min="6" max="6" width="32" style="14" customWidth="1"/>
    <col min="7" max="7" width="31" style="14" customWidth="1"/>
    <col min="8" max="8" width="50" style="14" customWidth="1"/>
    <col min="9" max="16384" width="9.140625" style="14"/>
  </cols>
  <sheetData>
    <row r="1" spans="1:8" x14ac:dyDescent="0.25">
      <c r="A1" s="15" t="s">
        <v>25</v>
      </c>
      <c r="B1" s="15" t="s">
        <v>26</v>
      </c>
      <c r="C1" s="15" t="s">
        <v>27</v>
      </c>
      <c r="D1" s="15" t="s">
        <v>28</v>
      </c>
      <c r="E1" s="15" t="s">
        <v>29</v>
      </c>
      <c r="F1" s="15" t="s">
        <v>30</v>
      </c>
      <c r="G1" s="15" t="s">
        <v>31</v>
      </c>
      <c r="H1" s="15" t="s">
        <v>32</v>
      </c>
    </row>
    <row r="2" spans="1:8" ht="50.1" customHeight="1" x14ac:dyDescent="0.25">
      <c r="A2" s="16" t="s">
        <v>33</v>
      </c>
      <c r="B2" s="17" t="s">
        <v>34</v>
      </c>
      <c r="C2" s="17" t="s">
        <v>35</v>
      </c>
      <c r="D2" s="17" t="s">
        <v>36</v>
      </c>
      <c r="E2" s="17" t="s">
        <v>37</v>
      </c>
      <c r="F2" s="17" t="s">
        <v>38</v>
      </c>
      <c r="G2" s="17" t="s">
        <v>39</v>
      </c>
      <c r="H2" s="17" t="s">
        <v>40</v>
      </c>
    </row>
    <row r="3" spans="1:8" ht="39.950000000000003" customHeight="1" x14ac:dyDescent="0.25">
      <c r="A3" s="44" t="s">
        <v>41</v>
      </c>
      <c r="B3" s="18"/>
      <c r="C3" s="18"/>
      <c r="D3" s="18"/>
      <c r="E3" s="18"/>
      <c r="F3" s="18"/>
      <c r="G3" s="18"/>
      <c r="H3" s="18"/>
    </row>
    <row r="4" spans="1:8" ht="39.950000000000003" customHeight="1" x14ac:dyDescent="0.25">
      <c r="A4" s="44" t="s">
        <v>42</v>
      </c>
      <c r="B4" s="18"/>
      <c r="C4" s="18"/>
      <c r="D4" s="18"/>
      <c r="E4" s="18"/>
      <c r="F4" s="18"/>
      <c r="G4" s="18"/>
      <c r="H4" s="18"/>
    </row>
    <row r="5" spans="1:8" ht="39.950000000000003" customHeight="1" x14ac:dyDescent="0.25">
      <c r="A5" s="44" t="s">
        <v>43</v>
      </c>
      <c r="B5" s="18"/>
      <c r="C5" s="18"/>
      <c r="D5" s="18"/>
      <c r="E5" s="18"/>
      <c r="F5" s="18"/>
      <c r="G5" s="18"/>
      <c r="H5" s="18"/>
    </row>
    <row r="6" spans="1:8" ht="39.950000000000003" customHeight="1" x14ac:dyDescent="0.25">
      <c r="A6" s="44" t="s">
        <v>44</v>
      </c>
      <c r="B6" s="18"/>
      <c r="C6" s="18"/>
      <c r="D6" s="18"/>
      <c r="E6" s="18"/>
      <c r="F6" s="18"/>
      <c r="G6" s="18"/>
      <c r="H6" s="18"/>
    </row>
    <row r="7" spans="1:8" ht="39.950000000000003" customHeight="1" x14ac:dyDescent="0.25">
      <c r="A7" s="44" t="s">
        <v>45</v>
      </c>
      <c r="B7" s="18"/>
      <c r="C7" s="18"/>
      <c r="D7" s="18"/>
      <c r="E7" s="18"/>
      <c r="F7" s="18"/>
      <c r="G7" s="18"/>
      <c r="H7" s="1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J16"/>
  <sheetViews>
    <sheetView showGridLines="0" workbookViewId="0">
      <pane ySplit="1" topLeftCell="A10" activePane="bottomLeft" state="frozen"/>
      <selection pane="bottomLeft" activeCell="D18" sqref="D18"/>
    </sheetView>
  </sheetViews>
  <sheetFormatPr defaultRowHeight="15" x14ac:dyDescent="0.25"/>
  <cols>
    <col min="1" max="1" width="12" style="14" customWidth="1"/>
    <col min="2" max="2" width="14" customWidth="1"/>
    <col min="3" max="3" width="24" customWidth="1"/>
    <col min="4" max="4" width="40" customWidth="1"/>
    <col min="5" max="5" width="93" customWidth="1"/>
    <col min="6" max="7" width="98" customWidth="1"/>
    <col min="8" max="8" width="91" customWidth="1"/>
    <col min="9" max="9" width="17" customWidth="1"/>
    <col min="10" max="10" width="40" customWidth="1"/>
  </cols>
  <sheetData>
    <row r="1" spans="1:10" x14ac:dyDescent="0.25">
      <c r="A1" s="15" t="s">
        <v>46</v>
      </c>
      <c r="B1" s="13" t="s">
        <v>25</v>
      </c>
      <c r="C1" s="4" t="s">
        <v>47</v>
      </c>
      <c r="D1" s="4" t="s">
        <v>48</v>
      </c>
      <c r="E1" s="4" t="s">
        <v>49</v>
      </c>
      <c r="F1" s="4" t="s">
        <v>50</v>
      </c>
      <c r="G1" s="4" t="s">
        <v>51</v>
      </c>
      <c r="H1" s="4" t="s">
        <v>52</v>
      </c>
      <c r="I1" s="4" t="s">
        <v>53</v>
      </c>
      <c r="J1" s="4" t="s">
        <v>54</v>
      </c>
    </row>
    <row r="2" spans="1:10" ht="105" x14ac:dyDescent="0.25">
      <c r="A2" s="38" t="s">
        <v>55</v>
      </c>
      <c r="B2" s="27" t="s">
        <v>33</v>
      </c>
      <c r="C2" s="6" t="s">
        <v>56</v>
      </c>
      <c r="D2" s="6" t="s">
        <v>57</v>
      </c>
      <c r="E2" s="6" t="s">
        <v>58</v>
      </c>
      <c r="F2" s="6" t="s">
        <v>59</v>
      </c>
      <c r="G2" s="6" t="s">
        <v>60</v>
      </c>
      <c r="H2" s="6" t="s">
        <v>61</v>
      </c>
      <c r="I2" s="7" t="s">
        <v>62</v>
      </c>
      <c r="J2" s="6" t="s">
        <v>63</v>
      </c>
    </row>
    <row r="3" spans="1:10" ht="105" x14ac:dyDescent="0.25">
      <c r="A3" s="39" t="s">
        <v>64</v>
      </c>
      <c r="B3" s="5" t="s">
        <v>33</v>
      </c>
      <c r="C3" s="9" t="s">
        <v>56</v>
      </c>
      <c r="D3" s="9" t="s">
        <v>65</v>
      </c>
      <c r="E3" s="9" t="s">
        <v>66</v>
      </c>
      <c r="F3" s="9" t="s">
        <v>67</v>
      </c>
      <c r="G3" s="9" t="s">
        <v>68</v>
      </c>
      <c r="H3" s="9" t="s">
        <v>69</v>
      </c>
      <c r="I3" s="8" t="s">
        <v>70</v>
      </c>
      <c r="J3" s="9" t="s">
        <v>71</v>
      </c>
    </row>
    <row r="4" spans="1:10" ht="120" x14ac:dyDescent="0.25">
      <c r="A4" s="40" t="s">
        <v>72</v>
      </c>
      <c r="B4" s="5" t="s">
        <v>33</v>
      </c>
      <c r="C4" s="6" t="s">
        <v>56</v>
      </c>
      <c r="D4" s="6" t="s">
        <v>73</v>
      </c>
      <c r="E4" s="6" t="s">
        <v>74</v>
      </c>
      <c r="F4" s="6" t="s">
        <v>75</v>
      </c>
      <c r="G4" s="6" t="s">
        <v>76</v>
      </c>
      <c r="H4" s="6" t="s">
        <v>77</v>
      </c>
      <c r="I4" s="7" t="s">
        <v>78</v>
      </c>
      <c r="J4" s="6" t="s">
        <v>79</v>
      </c>
    </row>
    <row r="5" spans="1:10" ht="105" x14ac:dyDescent="0.25">
      <c r="A5" s="41" t="s">
        <v>80</v>
      </c>
      <c r="B5" s="5" t="s">
        <v>33</v>
      </c>
      <c r="C5" s="9" t="s">
        <v>56</v>
      </c>
      <c r="D5" s="9" t="s">
        <v>81</v>
      </c>
      <c r="E5" s="9" t="s">
        <v>82</v>
      </c>
      <c r="F5" s="9" t="s">
        <v>83</v>
      </c>
      <c r="G5" s="9" t="s">
        <v>84</v>
      </c>
      <c r="H5" s="9" t="s">
        <v>85</v>
      </c>
      <c r="I5" s="8" t="s">
        <v>70</v>
      </c>
      <c r="J5" s="9" t="s">
        <v>86</v>
      </c>
    </row>
    <row r="6" spans="1:10" ht="105" x14ac:dyDescent="0.25">
      <c r="A6" s="40" t="s">
        <v>87</v>
      </c>
      <c r="B6" s="5" t="s">
        <v>33</v>
      </c>
      <c r="C6" s="6" t="s">
        <v>56</v>
      </c>
      <c r="D6" s="6" t="s">
        <v>88</v>
      </c>
      <c r="E6" s="6" t="s">
        <v>89</v>
      </c>
      <c r="F6" s="6" t="s">
        <v>90</v>
      </c>
      <c r="G6" s="6" t="s">
        <v>91</v>
      </c>
      <c r="H6" s="6" t="s">
        <v>92</v>
      </c>
      <c r="I6" s="7" t="s">
        <v>70</v>
      </c>
      <c r="J6" s="6" t="s">
        <v>93</v>
      </c>
    </row>
    <row r="7" spans="1:10" ht="90" x14ac:dyDescent="0.25">
      <c r="A7" s="41" t="s">
        <v>94</v>
      </c>
      <c r="B7" s="5" t="s">
        <v>33</v>
      </c>
      <c r="C7" s="9" t="s">
        <v>56</v>
      </c>
      <c r="D7" s="9" t="s">
        <v>95</v>
      </c>
      <c r="E7" s="9" t="s">
        <v>96</v>
      </c>
      <c r="F7" s="9" t="s">
        <v>97</v>
      </c>
      <c r="G7" s="9" t="s">
        <v>98</v>
      </c>
      <c r="H7" s="9" t="s">
        <v>99</v>
      </c>
      <c r="I7" s="8" t="s">
        <v>70</v>
      </c>
      <c r="J7" s="9" t="s">
        <v>100</v>
      </c>
    </row>
    <row r="8" spans="1:10" ht="105" x14ac:dyDescent="0.25">
      <c r="A8" s="40" t="s">
        <v>101</v>
      </c>
      <c r="B8" s="5" t="s">
        <v>33</v>
      </c>
      <c r="C8" s="6" t="s">
        <v>56</v>
      </c>
      <c r="D8" s="6" t="s">
        <v>102</v>
      </c>
      <c r="E8" s="6" t="s">
        <v>103</v>
      </c>
      <c r="F8" s="6" t="s">
        <v>104</v>
      </c>
      <c r="G8" s="6" t="s">
        <v>105</v>
      </c>
      <c r="H8" s="6" t="s">
        <v>106</v>
      </c>
      <c r="I8" s="7" t="s">
        <v>78</v>
      </c>
      <c r="J8" s="6" t="s">
        <v>107</v>
      </c>
    </row>
    <row r="9" spans="1:10" ht="105" x14ac:dyDescent="0.25">
      <c r="A9" s="42" t="s">
        <v>108</v>
      </c>
      <c r="B9" s="30" t="s">
        <v>33</v>
      </c>
      <c r="C9" s="31" t="s">
        <v>56</v>
      </c>
      <c r="D9" s="31" t="s">
        <v>109</v>
      </c>
      <c r="E9" s="31" t="s">
        <v>110</v>
      </c>
      <c r="F9" s="31" t="s">
        <v>111</v>
      </c>
      <c r="G9" s="31" t="s">
        <v>112</v>
      </c>
      <c r="H9" s="31" t="s">
        <v>113</v>
      </c>
      <c r="I9" s="29" t="s">
        <v>78</v>
      </c>
      <c r="J9" s="31" t="s">
        <v>114</v>
      </c>
    </row>
    <row r="10" spans="1:10" ht="90" x14ac:dyDescent="0.25">
      <c r="A10" s="38" t="s">
        <v>115</v>
      </c>
      <c r="B10" s="16" t="s">
        <v>33</v>
      </c>
      <c r="C10" s="17" t="s">
        <v>56</v>
      </c>
      <c r="D10" s="17" t="s">
        <v>116</v>
      </c>
      <c r="E10" s="17" t="s">
        <v>117</v>
      </c>
      <c r="F10" s="17" t="s">
        <v>118</v>
      </c>
      <c r="G10" s="17" t="s">
        <v>119</v>
      </c>
      <c r="H10" s="17" t="s">
        <v>120</v>
      </c>
      <c r="I10" s="32" t="s">
        <v>78</v>
      </c>
      <c r="J10" s="17" t="s">
        <v>121</v>
      </c>
    </row>
    <row r="11" spans="1:10" ht="105" x14ac:dyDescent="0.25">
      <c r="A11" s="43" t="s">
        <v>122</v>
      </c>
      <c r="B11" s="16" t="s">
        <v>33</v>
      </c>
      <c r="C11" s="35" t="s">
        <v>56</v>
      </c>
      <c r="D11" s="35" t="s">
        <v>123</v>
      </c>
      <c r="E11" s="35" t="s">
        <v>124</v>
      </c>
      <c r="F11" s="35" t="s">
        <v>125</v>
      </c>
      <c r="G11" s="35" t="s">
        <v>126</v>
      </c>
      <c r="H11" s="35" t="s">
        <v>127</v>
      </c>
      <c r="I11" s="34" t="s">
        <v>62</v>
      </c>
      <c r="J11" s="35" t="s">
        <v>128</v>
      </c>
    </row>
    <row r="12" spans="1:10" x14ac:dyDescent="0.25">
      <c r="A12" s="44" t="s">
        <v>129</v>
      </c>
      <c r="B12" s="33" t="s">
        <v>130</v>
      </c>
      <c r="C12" s="37"/>
      <c r="D12" s="37"/>
      <c r="E12" s="37"/>
      <c r="F12" s="37"/>
      <c r="G12" s="37"/>
      <c r="H12" s="37"/>
      <c r="I12" s="37"/>
      <c r="J12" s="37"/>
    </row>
    <row r="13" spans="1:10" x14ac:dyDescent="0.25">
      <c r="A13" s="44" t="s">
        <v>131</v>
      </c>
      <c r="B13" s="33" t="s">
        <v>130</v>
      </c>
      <c r="C13" s="37"/>
      <c r="D13" s="37"/>
      <c r="E13" s="37"/>
      <c r="F13" s="37"/>
      <c r="G13" s="37"/>
      <c r="H13" s="37"/>
      <c r="I13" s="37"/>
      <c r="J13" s="37"/>
    </row>
    <row r="14" spans="1:10" x14ac:dyDescent="0.25">
      <c r="A14" s="44" t="s">
        <v>132</v>
      </c>
      <c r="B14" s="33" t="s">
        <v>130</v>
      </c>
      <c r="C14" s="37"/>
      <c r="D14" s="37"/>
      <c r="E14" s="37"/>
      <c r="F14" s="37"/>
      <c r="G14" s="37"/>
      <c r="H14" s="37"/>
      <c r="I14" s="37"/>
      <c r="J14" s="37"/>
    </row>
    <row r="15" spans="1:10" x14ac:dyDescent="0.25">
      <c r="A15" s="44" t="s">
        <v>133</v>
      </c>
      <c r="B15" s="33" t="s">
        <v>130</v>
      </c>
      <c r="C15" s="37"/>
      <c r="D15" s="37"/>
      <c r="E15" s="37"/>
      <c r="F15" s="37"/>
      <c r="G15" s="37"/>
      <c r="H15" s="37"/>
      <c r="I15" s="37"/>
      <c r="J15" s="37"/>
    </row>
    <row r="16" spans="1:10" x14ac:dyDescent="0.25">
      <c r="A16" s="44" t="s">
        <v>134</v>
      </c>
      <c r="B16" s="33" t="s">
        <v>130</v>
      </c>
      <c r="C16" s="37"/>
      <c r="D16" s="37"/>
      <c r="E16" s="37"/>
      <c r="F16" s="37"/>
      <c r="G16" s="37"/>
      <c r="H16" s="37"/>
      <c r="I16" s="37"/>
      <c r="J16" s="3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59999389629810485"/>
  </sheetPr>
  <dimension ref="A1:I26"/>
  <sheetViews>
    <sheetView showGridLines="0" tabSelected="1" workbookViewId="0">
      <pane ySplit="1" topLeftCell="A16" activePane="bottomLeft" state="frozen"/>
      <selection pane="bottomLeft" activeCell="H28" sqref="H28"/>
    </sheetView>
  </sheetViews>
  <sheetFormatPr defaultRowHeight="15" x14ac:dyDescent="0.25"/>
  <cols>
    <col min="1" max="1" width="20" customWidth="1"/>
    <col min="2" max="2" width="14" customWidth="1"/>
    <col min="3" max="3" width="31" customWidth="1"/>
    <col min="4" max="4" width="13" style="14" customWidth="1"/>
    <col min="5" max="6" width="15" style="47" customWidth="1"/>
    <col min="7" max="8" width="40" customWidth="1"/>
    <col min="9" max="9" width="41" customWidth="1"/>
  </cols>
  <sheetData>
    <row r="1" spans="1:9" x14ac:dyDescent="0.25">
      <c r="A1" s="28" t="s">
        <v>135</v>
      </c>
      <c r="B1" s="28" t="s">
        <v>25</v>
      </c>
      <c r="C1" s="28" t="s">
        <v>136</v>
      </c>
      <c r="D1" s="15" t="s">
        <v>137</v>
      </c>
      <c r="E1" s="15" t="s">
        <v>138</v>
      </c>
      <c r="F1" s="15" t="s">
        <v>139</v>
      </c>
      <c r="G1" s="28" t="s">
        <v>140</v>
      </c>
      <c r="H1" s="28" t="s">
        <v>141</v>
      </c>
      <c r="I1" s="28" t="s">
        <v>142</v>
      </c>
    </row>
    <row r="2" spans="1:9" ht="30" x14ac:dyDescent="0.25">
      <c r="A2" s="32" t="s">
        <v>143</v>
      </c>
      <c r="B2" s="33" t="s">
        <v>33</v>
      </c>
      <c r="C2" s="17" t="s">
        <v>144</v>
      </c>
      <c r="D2" s="38" t="s">
        <v>143</v>
      </c>
      <c r="E2" s="45">
        <v>0</v>
      </c>
      <c r="F2" s="45">
        <v>0</v>
      </c>
      <c r="G2" s="17" t="s">
        <v>145</v>
      </c>
      <c r="H2" s="17" t="s">
        <v>146</v>
      </c>
      <c r="I2" s="17" t="s">
        <v>147</v>
      </c>
    </row>
    <row r="3" spans="1:9" ht="30" x14ac:dyDescent="0.25">
      <c r="A3" s="34" t="s">
        <v>148</v>
      </c>
      <c r="B3" s="33" t="s">
        <v>33</v>
      </c>
      <c r="C3" s="35" t="s">
        <v>149</v>
      </c>
      <c r="D3" s="43" t="s">
        <v>150</v>
      </c>
      <c r="E3" s="46">
        <v>-240</v>
      </c>
      <c r="F3" s="46">
        <v>-180</v>
      </c>
      <c r="G3" s="35" t="s">
        <v>151</v>
      </c>
      <c r="H3" s="35" t="s">
        <v>152</v>
      </c>
      <c r="I3" s="35" t="s">
        <v>153</v>
      </c>
    </row>
    <row r="4" spans="1:9" ht="30" x14ac:dyDescent="0.25">
      <c r="A4" s="32" t="s">
        <v>154</v>
      </c>
      <c r="B4" s="33" t="s">
        <v>33</v>
      </c>
      <c r="C4" s="17" t="s">
        <v>155</v>
      </c>
      <c r="D4" s="38" t="s">
        <v>150</v>
      </c>
      <c r="E4" s="45">
        <v>-360</v>
      </c>
      <c r="F4" s="45">
        <v>-300</v>
      </c>
      <c r="G4" s="17" t="s">
        <v>156</v>
      </c>
      <c r="H4" s="17" t="s">
        <v>157</v>
      </c>
      <c r="I4" s="17" t="s">
        <v>153</v>
      </c>
    </row>
    <row r="5" spans="1:9" ht="30" x14ac:dyDescent="0.25">
      <c r="A5" s="34" t="s">
        <v>158</v>
      </c>
      <c r="B5" s="33" t="s">
        <v>33</v>
      </c>
      <c r="C5" s="35" t="s">
        <v>159</v>
      </c>
      <c r="D5" s="43" t="s">
        <v>150</v>
      </c>
      <c r="E5" s="46">
        <v>-420</v>
      </c>
      <c r="F5" s="46">
        <v>-120</v>
      </c>
      <c r="G5" s="35" t="s">
        <v>160</v>
      </c>
      <c r="H5" s="35" t="s">
        <v>161</v>
      </c>
      <c r="I5" s="35" t="s">
        <v>153</v>
      </c>
    </row>
    <row r="6" spans="1:9" ht="45" x14ac:dyDescent="0.25">
      <c r="A6" s="32" t="s">
        <v>162</v>
      </c>
      <c r="B6" s="33" t="s">
        <v>33</v>
      </c>
      <c r="C6" s="17" t="s">
        <v>163</v>
      </c>
      <c r="D6" s="38" t="s">
        <v>150</v>
      </c>
      <c r="E6" s="45">
        <v>-540</v>
      </c>
      <c r="F6" s="45">
        <v>-180</v>
      </c>
      <c r="G6" s="17" t="s">
        <v>164</v>
      </c>
      <c r="H6" s="17" t="s">
        <v>165</v>
      </c>
      <c r="I6" s="17" t="s">
        <v>153</v>
      </c>
    </row>
    <row r="7" spans="1:9" ht="30" x14ac:dyDescent="0.25">
      <c r="A7" s="34" t="s">
        <v>166</v>
      </c>
      <c r="B7" s="33" t="s">
        <v>33</v>
      </c>
      <c r="C7" s="35" t="s">
        <v>167</v>
      </c>
      <c r="D7" s="43" t="s">
        <v>168</v>
      </c>
      <c r="E7" s="46">
        <v>240</v>
      </c>
      <c r="F7" s="46">
        <v>-180</v>
      </c>
      <c r="G7" s="35" t="s">
        <v>169</v>
      </c>
      <c r="H7" s="35" t="s">
        <v>170</v>
      </c>
      <c r="I7" s="35" t="s">
        <v>171</v>
      </c>
    </row>
    <row r="8" spans="1:9" ht="30" x14ac:dyDescent="0.25">
      <c r="A8" s="32" t="s">
        <v>172</v>
      </c>
      <c r="B8" s="33" t="s">
        <v>33</v>
      </c>
      <c r="C8" s="17" t="s">
        <v>173</v>
      </c>
      <c r="D8" s="38" t="s">
        <v>168</v>
      </c>
      <c r="E8" s="45">
        <v>360</v>
      </c>
      <c r="F8" s="45">
        <v>-300</v>
      </c>
      <c r="G8" s="17" t="s">
        <v>174</v>
      </c>
      <c r="H8" s="17" t="s">
        <v>175</v>
      </c>
      <c r="I8" s="17" t="s">
        <v>171</v>
      </c>
    </row>
    <row r="9" spans="1:9" ht="30" x14ac:dyDescent="0.25">
      <c r="A9" s="34" t="s">
        <v>176</v>
      </c>
      <c r="B9" s="33" t="s">
        <v>33</v>
      </c>
      <c r="C9" s="35" t="s">
        <v>177</v>
      </c>
      <c r="D9" s="43" t="s">
        <v>168</v>
      </c>
      <c r="E9" s="46">
        <v>460</v>
      </c>
      <c r="F9" s="46">
        <v>-220</v>
      </c>
      <c r="G9" s="35" t="s">
        <v>178</v>
      </c>
      <c r="H9" s="35" t="s">
        <v>179</v>
      </c>
      <c r="I9" s="35" t="s">
        <v>171</v>
      </c>
    </row>
    <row r="10" spans="1:9" ht="30" x14ac:dyDescent="0.25">
      <c r="A10" s="32" t="s">
        <v>180</v>
      </c>
      <c r="B10" s="33" t="s">
        <v>33</v>
      </c>
      <c r="C10" s="17" t="s">
        <v>181</v>
      </c>
      <c r="D10" s="38" t="s">
        <v>168</v>
      </c>
      <c r="E10" s="45">
        <v>440</v>
      </c>
      <c r="F10" s="45">
        <v>-80</v>
      </c>
      <c r="G10" s="17" t="s">
        <v>182</v>
      </c>
      <c r="H10" s="17" t="s">
        <v>183</v>
      </c>
      <c r="I10" s="17" t="s">
        <v>171</v>
      </c>
    </row>
    <row r="11" spans="1:9" ht="30" x14ac:dyDescent="0.25">
      <c r="A11" s="34" t="s">
        <v>184</v>
      </c>
      <c r="B11" s="33" t="s">
        <v>33</v>
      </c>
      <c r="C11" s="35" t="s">
        <v>185</v>
      </c>
      <c r="D11" s="43" t="s">
        <v>168</v>
      </c>
      <c r="E11" s="46">
        <v>340</v>
      </c>
      <c r="F11" s="46">
        <v>20</v>
      </c>
      <c r="G11" s="35" t="s">
        <v>186</v>
      </c>
      <c r="H11" s="35" t="s">
        <v>187</v>
      </c>
      <c r="I11" s="35" t="s">
        <v>171</v>
      </c>
    </row>
    <row r="12" spans="1:9" ht="30" x14ac:dyDescent="0.25">
      <c r="A12" s="32" t="s">
        <v>188</v>
      </c>
      <c r="B12" s="33" t="s">
        <v>33</v>
      </c>
      <c r="C12" s="17" t="s">
        <v>189</v>
      </c>
      <c r="D12" s="38" t="s">
        <v>190</v>
      </c>
      <c r="E12" s="45">
        <v>-280</v>
      </c>
      <c r="F12" s="45">
        <v>120</v>
      </c>
      <c r="G12" s="17" t="s">
        <v>191</v>
      </c>
      <c r="H12" s="17" t="s">
        <v>192</v>
      </c>
      <c r="I12" s="17" t="s">
        <v>193</v>
      </c>
    </row>
    <row r="13" spans="1:9" ht="30" x14ac:dyDescent="0.25">
      <c r="A13" s="34" t="s">
        <v>194</v>
      </c>
      <c r="B13" s="33" t="s">
        <v>33</v>
      </c>
      <c r="C13" s="35" t="s">
        <v>195</v>
      </c>
      <c r="D13" s="43" t="s">
        <v>190</v>
      </c>
      <c r="E13" s="46">
        <v>-420</v>
      </c>
      <c r="F13" s="46">
        <v>60</v>
      </c>
      <c r="G13" s="35" t="s">
        <v>196</v>
      </c>
      <c r="H13" s="35" t="s">
        <v>197</v>
      </c>
      <c r="I13" s="35" t="s">
        <v>198</v>
      </c>
    </row>
    <row r="14" spans="1:9" ht="30" x14ac:dyDescent="0.25">
      <c r="A14" s="32" t="s">
        <v>199</v>
      </c>
      <c r="B14" s="33" t="s">
        <v>33</v>
      </c>
      <c r="C14" s="17" t="s">
        <v>200</v>
      </c>
      <c r="D14" s="38" t="s">
        <v>190</v>
      </c>
      <c r="E14" s="45">
        <v>-440</v>
      </c>
      <c r="F14" s="45">
        <v>220</v>
      </c>
      <c r="G14" s="17" t="s">
        <v>201</v>
      </c>
      <c r="H14" s="17" t="s">
        <v>202</v>
      </c>
      <c r="I14" s="17" t="s">
        <v>198</v>
      </c>
    </row>
    <row r="15" spans="1:9" ht="30" x14ac:dyDescent="0.25">
      <c r="A15" s="34" t="s">
        <v>203</v>
      </c>
      <c r="B15" s="33" t="s">
        <v>33</v>
      </c>
      <c r="C15" s="35" t="s">
        <v>204</v>
      </c>
      <c r="D15" s="43" t="s">
        <v>205</v>
      </c>
      <c r="E15" s="46">
        <v>280</v>
      </c>
      <c r="F15" s="46">
        <v>120</v>
      </c>
      <c r="G15" s="35" t="s">
        <v>206</v>
      </c>
      <c r="H15" s="35" t="s">
        <v>207</v>
      </c>
      <c r="I15" s="35" t="s">
        <v>208</v>
      </c>
    </row>
    <row r="16" spans="1:9" ht="30" x14ac:dyDescent="0.25">
      <c r="A16" s="32" t="s">
        <v>209</v>
      </c>
      <c r="B16" s="33" t="s">
        <v>33</v>
      </c>
      <c r="C16" s="17" t="s">
        <v>210</v>
      </c>
      <c r="D16" s="38" t="s">
        <v>205</v>
      </c>
      <c r="E16" s="45">
        <v>420</v>
      </c>
      <c r="F16" s="45">
        <v>200</v>
      </c>
      <c r="G16" s="17" t="s">
        <v>211</v>
      </c>
      <c r="H16" s="17" t="s">
        <v>212</v>
      </c>
      <c r="I16" s="17" t="s">
        <v>208</v>
      </c>
    </row>
    <row r="17" spans="1:9" ht="30" x14ac:dyDescent="0.25">
      <c r="A17" s="34" t="s">
        <v>213</v>
      </c>
      <c r="B17" s="33" t="s">
        <v>33</v>
      </c>
      <c r="C17" s="35" t="s">
        <v>214</v>
      </c>
      <c r="D17" s="43" t="s">
        <v>205</v>
      </c>
      <c r="E17" s="46">
        <v>440</v>
      </c>
      <c r="F17" s="46">
        <v>320</v>
      </c>
      <c r="G17" s="35" t="s">
        <v>215</v>
      </c>
      <c r="H17" s="35" t="s">
        <v>216</v>
      </c>
      <c r="I17" s="35" t="s">
        <v>208</v>
      </c>
    </row>
    <row r="18" spans="1:9" ht="30" x14ac:dyDescent="0.25">
      <c r="A18" s="32" t="s">
        <v>217</v>
      </c>
      <c r="B18" s="33" t="s">
        <v>33</v>
      </c>
      <c r="C18" s="17" t="s">
        <v>218</v>
      </c>
      <c r="D18" s="38" t="s">
        <v>205</v>
      </c>
      <c r="E18" s="45">
        <v>260</v>
      </c>
      <c r="F18" s="45">
        <v>280</v>
      </c>
      <c r="G18" s="17" t="s">
        <v>219</v>
      </c>
      <c r="H18" s="17" t="s">
        <v>220</v>
      </c>
      <c r="I18" s="17" t="s">
        <v>221</v>
      </c>
    </row>
    <row r="19" spans="1:9" ht="30" x14ac:dyDescent="0.25">
      <c r="A19" s="34" t="s">
        <v>222</v>
      </c>
      <c r="B19" s="33" t="s">
        <v>33</v>
      </c>
      <c r="C19" s="35" t="s">
        <v>223</v>
      </c>
      <c r="D19" s="43" t="s">
        <v>224</v>
      </c>
      <c r="E19" s="46">
        <v>0</v>
      </c>
      <c r="F19" s="46">
        <v>240</v>
      </c>
      <c r="G19" s="35" t="s">
        <v>225</v>
      </c>
      <c r="H19" s="35" t="s">
        <v>226</v>
      </c>
      <c r="I19" s="35" t="s">
        <v>227</v>
      </c>
    </row>
    <row r="20" spans="1:9" ht="30" x14ac:dyDescent="0.25">
      <c r="A20" s="32" t="s">
        <v>228</v>
      </c>
      <c r="B20" s="33" t="s">
        <v>33</v>
      </c>
      <c r="C20" s="17" t="s">
        <v>229</v>
      </c>
      <c r="D20" s="38" t="s">
        <v>224</v>
      </c>
      <c r="E20" s="45">
        <v>-120</v>
      </c>
      <c r="F20" s="45">
        <v>340</v>
      </c>
      <c r="G20" s="17" t="s">
        <v>230</v>
      </c>
      <c r="H20" s="17" t="s">
        <v>231</v>
      </c>
      <c r="I20" s="17" t="s">
        <v>227</v>
      </c>
    </row>
    <row r="21" spans="1:9" ht="30" x14ac:dyDescent="0.25">
      <c r="A21" s="34" t="s">
        <v>232</v>
      </c>
      <c r="B21" s="33" t="s">
        <v>33</v>
      </c>
      <c r="C21" s="35" t="s">
        <v>233</v>
      </c>
      <c r="D21" s="43" t="s">
        <v>224</v>
      </c>
      <c r="E21" s="46">
        <v>120</v>
      </c>
      <c r="F21" s="46">
        <v>340</v>
      </c>
      <c r="G21" s="35" t="s">
        <v>234</v>
      </c>
      <c r="H21" s="35" t="s">
        <v>235</v>
      </c>
      <c r="I21" s="35" t="s">
        <v>227</v>
      </c>
    </row>
    <row r="22" spans="1:9" x14ac:dyDescent="0.25">
      <c r="A22" s="36" t="s">
        <v>236</v>
      </c>
      <c r="B22" s="33" t="s">
        <v>130</v>
      </c>
      <c r="C22" s="37"/>
      <c r="D22" s="18"/>
      <c r="E22" s="48"/>
      <c r="F22" s="48"/>
      <c r="G22" s="37"/>
      <c r="H22" s="37"/>
      <c r="I22" s="37"/>
    </row>
    <row r="23" spans="1:9" x14ac:dyDescent="0.25">
      <c r="A23" s="36" t="s">
        <v>237</v>
      </c>
      <c r="B23" s="33" t="s">
        <v>130</v>
      </c>
      <c r="C23" s="37"/>
      <c r="D23" s="18"/>
      <c r="E23" s="48"/>
      <c r="F23" s="48"/>
      <c r="G23" s="37"/>
      <c r="H23" s="37"/>
      <c r="I23" s="37"/>
    </row>
    <row r="24" spans="1:9" x14ac:dyDescent="0.25">
      <c r="A24" s="36" t="s">
        <v>238</v>
      </c>
      <c r="B24" s="33" t="s">
        <v>130</v>
      </c>
      <c r="C24" s="37"/>
      <c r="D24" s="18"/>
      <c r="E24" s="48"/>
      <c r="F24" s="48"/>
      <c r="G24" s="37"/>
      <c r="H24" s="37"/>
      <c r="I24" s="37"/>
    </row>
    <row r="25" spans="1:9" x14ac:dyDescent="0.25">
      <c r="A25" s="36" t="s">
        <v>239</v>
      </c>
      <c r="B25" s="33" t="s">
        <v>130</v>
      </c>
      <c r="C25" s="37"/>
      <c r="D25" s="18"/>
      <c r="E25" s="48"/>
      <c r="F25" s="48"/>
      <c r="G25" s="37"/>
      <c r="H25" s="37"/>
      <c r="I25" s="37"/>
    </row>
    <row r="26" spans="1:9" x14ac:dyDescent="0.25">
      <c r="A26" s="36" t="s">
        <v>240</v>
      </c>
      <c r="B26" s="33" t="s">
        <v>130</v>
      </c>
      <c r="C26" s="37"/>
      <c r="D26" s="18"/>
      <c r="E26" s="48"/>
      <c r="F26" s="48"/>
      <c r="G26" s="37"/>
      <c r="H26" s="37"/>
      <c r="I26" s="3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 &amp; Index</vt:lpstr>
      <vt:lpstr>Episodes</vt:lpstr>
      <vt:lpstr>Quizzes</vt:lpstr>
      <vt:lpstr>Mind Map Nodes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Herling Massie</cp:lastModifiedBy>
  <dcterms:created xsi:type="dcterms:W3CDTF">2026-07-04T07:49:58Z</dcterms:created>
  <dcterms:modified xsi:type="dcterms:W3CDTF">2026-07-04T09:06:31Z</dcterms:modified>
</cp:coreProperties>
</file>